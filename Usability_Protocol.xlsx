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"/>
    </mc:Choice>
  </mc:AlternateContent>
  <bookViews>
    <workbookView xWindow="0" yWindow="0" windowWidth="16380" windowHeight="8190" tabRatio="500" activeTab="2"/>
  </bookViews>
  <sheets>
    <sheet name="Задачи" sheetId="1" r:id="rId1"/>
    <sheet name="Приложение" sheetId="2" r:id="rId2"/>
    <sheet name="Метрики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3" l="1"/>
  <c r="E3" i="3"/>
  <c r="C22" i="3"/>
  <c r="C23" i="3" s="1"/>
  <c r="C21" i="3"/>
  <c r="C20" i="3"/>
  <c r="N10" i="3"/>
  <c r="M10" i="3"/>
  <c r="N9" i="3"/>
  <c r="M9" i="3"/>
  <c r="L9" i="3"/>
  <c r="K9" i="3"/>
  <c r="I9" i="3"/>
  <c r="H9" i="3"/>
  <c r="J9" i="3" s="1"/>
  <c r="F9" i="3"/>
  <c r="E9" i="3"/>
  <c r="D9" i="3"/>
  <c r="C9" i="3"/>
  <c r="G9" i="3" s="1"/>
  <c r="N8" i="3"/>
  <c r="M8" i="3"/>
  <c r="L8" i="3"/>
  <c r="K8" i="3"/>
  <c r="I8" i="3"/>
  <c r="H8" i="3"/>
  <c r="J8" i="3" s="1"/>
  <c r="F8" i="3"/>
  <c r="E8" i="3"/>
  <c r="D8" i="3"/>
  <c r="C8" i="3"/>
  <c r="G8" i="3" s="1"/>
  <c r="N7" i="3"/>
  <c r="M7" i="3"/>
  <c r="L7" i="3"/>
  <c r="K7" i="3"/>
  <c r="I7" i="3"/>
  <c r="H7" i="3"/>
  <c r="J7" i="3" s="1"/>
  <c r="F7" i="3"/>
  <c r="E7" i="3"/>
  <c r="D7" i="3"/>
  <c r="C7" i="3"/>
  <c r="G7" i="3" s="1"/>
  <c r="N6" i="3"/>
  <c r="M6" i="3"/>
  <c r="L6" i="3"/>
  <c r="K6" i="3"/>
  <c r="I6" i="3"/>
  <c r="H6" i="3"/>
  <c r="J6" i="3" s="1"/>
  <c r="F6" i="3"/>
  <c r="E6" i="3"/>
  <c r="D6" i="3"/>
  <c r="C6" i="3"/>
  <c r="G6" i="3" s="1"/>
  <c r="N5" i="3"/>
  <c r="M5" i="3"/>
  <c r="L5" i="3"/>
  <c r="K5" i="3"/>
  <c r="I5" i="3"/>
  <c r="H5" i="3"/>
  <c r="J5" i="3" s="1"/>
  <c r="F5" i="3"/>
  <c r="E5" i="3"/>
  <c r="D5" i="3"/>
  <c r="C5" i="3"/>
  <c r="G5" i="3" s="1"/>
  <c r="N4" i="3"/>
  <c r="M4" i="3"/>
  <c r="L4" i="3"/>
  <c r="K4" i="3"/>
  <c r="I4" i="3"/>
  <c r="H4" i="3"/>
  <c r="J4" i="3" s="1"/>
  <c r="F4" i="3"/>
  <c r="E4" i="3"/>
  <c r="D4" i="3"/>
  <c r="C4" i="3"/>
  <c r="G4" i="3" s="1"/>
  <c r="N3" i="3"/>
  <c r="M3" i="3"/>
  <c r="L3" i="3"/>
  <c r="K3" i="3"/>
  <c r="I3" i="3"/>
  <c r="H3" i="3"/>
  <c r="J3" i="3" s="1"/>
  <c r="F3" i="3"/>
  <c r="D3" i="3"/>
  <c r="C3" i="3"/>
  <c r="G3" i="3" s="1"/>
  <c r="N2" i="3"/>
  <c r="M2" i="3"/>
  <c r="L2" i="3"/>
  <c r="K2" i="3"/>
  <c r="K10" i="3" s="1"/>
  <c r="I2" i="3"/>
  <c r="I10" i="3" s="1"/>
  <c r="H2" i="3"/>
  <c r="H10" i="3" s="1"/>
  <c r="J10" i="3" s="1"/>
  <c r="C15" i="3" s="1"/>
  <c r="F2" i="3"/>
  <c r="F10" i="3" s="1"/>
  <c r="E2" i="3"/>
  <c r="D2" i="3"/>
  <c r="D10" i="3" s="1"/>
  <c r="C2" i="3"/>
  <c r="C10" i="3" s="1"/>
  <c r="L4" i="2"/>
  <c r="L3" i="2"/>
  <c r="L2" i="2"/>
  <c r="C19" i="3" s="1"/>
  <c r="C17" i="3" l="1"/>
  <c r="G10" i="3"/>
  <c r="C14" i="3" s="1"/>
  <c r="C16" i="3"/>
  <c r="E10" i="3"/>
  <c r="C13" i="3" s="1"/>
  <c r="J2" i="3"/>
  <c r="G2" i="3"/>
</calcChain>
</file>

<file path=xl/sharedStrings.xml><?xml version="1.0" encoding="utf-8"?>
<sst xmlns="http://schemas.openxmlformats.org/spreadsheetml/2006/main" count="85" uniqueCount="57">
  <si>
    <t>Испытуемый</t>
  </si>
  <si>
    <t>№ задачи</t>
  </si>
  <si>
    <t>Время, с</t>
  </si>
  <si>
    <t>Всего действий</t>
  </si>
  <si>
    <t>Ошибочных действий</t>
  </si>
  <si>
    <t>Цель достигнута (1/0)</t>
  </si>
  <si>
    <t>Помощь (1/0)</t>
  </si>
  <si>
    <t>SEQ (1-7)</t>
  </si>
  <si>
    <t>SUS1</t>
  </si>
  <si>
    <t>SUS2</t>
  </si>
  <si>
    <t>SUS3</t>
  </si>
  <si>
    <t>SUS4</t>
  </si>
  <si>
    <t>SUS5</t>
  </si>
  <si>
    <t>SUS6</t>
  </si>
  <si>
    <t>SUS7</t>
  </si>
  <si>
    <t>SUS8</t>
  </si>
  <si>
    <t>SUS9</t>
  </si>
  <si>
    <t>SUS10</t>
  </si>
  <si>
    <t>SUS (0-100)</t>
  </si>
  <si>
    <t>NPS (0-10)</t>
  </si>
  <si>
    <t>№</t>
  </si>
  <si>
    <t>Задача</t>
  </si>
  <si>
    <t>Попыток</t>
  </si>
  <si>
    <t>Успешных</t>
  </si>
  <si>
    <t>TSR</t>
  </si>
  <si>
    <t>Без помощи</t>
  </si>
  <si>
    <t>CR</t>
  </si>
  <si>
    <t>Действий</t>
  </si>
  <si>
    <t>Ошибок</t>
  </si>
  <si>
    <t>ER</t>
  </si>
  <si>
    <t>Обращений за помощью</t>
  </si>
  <si>
    <t>Ср. время, с</t>
  </si>
  <si>
    <t>ATT, с (успешные)</t>
  </si>
  <si>
    <t>SEQ</t>
  </si>
  <si>
    <t>Регистрация</t>
  </si>
  <si>
    <t>Восстановление пароля</t>
  </si>
  <si>
    <t>Вход в систему</t>
  </si>
  <si>
    <t>Вход в автономном режиме</t>
  </si>
  <si>
    <t>Файлы: загрузка, скачивание, удаление</t>
  </si>
  <si>
    <t>Папки: создание и навигация</t>
  </si>
  <si>
    <t>Загрузка каталогов</t>
  </si>
  <si>
    <t>Изменение учётных данных</t>
  </si>
  <si>
    <t>ВСЕГО</t>
  </si>
  <si>
    <t>Показатели по всем задачам</t>
  </si>
  <si>
    <t>AR (обращений за помощью / попыток)</t>
  </si>
  <si>
    <t>TP (успешных задач в минуту)</t>
  </si>
  <si>
    <t>SUS, среднее (ориентир 68)</t>
  </si>
  <si>
    <t>Промоутеры NPS (9-10)</t>
  </si>
  <si>
    <t>Критики NPS (0-6)</t>
  </si>
  <si>
    <t>Всего оценок NPS</t>
  </si>
  <si>
    <t>NPS</t>
  </si>
  <si>
    <t>Т1</t>
  </si>
  <si>
    <t>Т2</t>
  </si>
  <si>
    <t>Т3</t>
  </si>
  <si>
    <t>Обратная связь</t>
  </si>
  <si>
    <t>EU (успешных задач на одно действие)</t>
  </si>
  <si>
    <t xml:space="preserve">Три проблемные задачи: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</si>
</sst>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"/>
    <numFmt numFmtId="166" formatCode="0.000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Normal="100" workbookViewId="0">
      <selection activeCell="E7" sqref="E7"/>
    </sheetView>
  </sheetViews>
  <sheetFormatPr defaultColWidth="8.6328125" defaultRowHeight="14.5" x14ac:dyDescent="0.35"/>
  <cols>
    <col min="1" max="1" width="14.26953125" customWidth="1"/>
    <col min="2" max="2" width="10" customWidth="1"/>
    <col min="3" max="3" width="11.1796875" customWidth="1"/>
    <col min="4" max="4" width="14" customWidth="1"/>
    <col min="5" max="5" width="18" customWidth="1"/>
    <col min="6" max="6" width="20" customWidth="1"/>
    <col min="7" max="7" width="13" customWidth="1"/>
    <col min="8" max="8" width="10" customWidth="1"/>
  </cols>
  <sheetData>
    <row r="1" spans="1:10" ht="26.5" customHeight="1" x14ac:dyDescent="0.3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1"/>
    </row>
    <row r="2" spans="1:10" x14ac:dyDescent="0.35">
      <c r="A2" s="3" t="s">
        <v>51</v>
      </c>
      <c r="B2" s="3">
        <v>1</v>
      </c>
      <c r="C2" s="3"/>
      <c r="D2" s="3"/>
      <c r="E2" s="3"/>
      <c r="F2" s="3"/>
      <c r="G2" s="3"/>
      <c r="H2" s="3"/>
    </row>
    <row r="3" spans="1:10" x14ac:dyDescent="0.35">
      <c r="A3" s="3" t="s">
        <v>51</v>
      </c>
      <c r="B3" s="3">
        <v>2</v>
      </c>
      <c r="C3" s="3"/>
      <c r="D3" s="3"/>
      <c r="E3" s="3"/>
      <c r="F3" s="3"/>
      <c r="G3" s="3"/>
      <c r="H3" s="3"/>
    </row>
    <row r="4" spans="1:10" x14ac:dyDescent="0.35">
      <c r="A4" s="3" t="s">
        <v>51</v>
      </c>
      <c r="B4" s="3">
        <v>3</v>
      </c>
      <c r="C4" s="3"/>
      <c r="D4" s="3"/>
      <c r="E4" s="3"/>
      <c r="F4" s="3"/>
      <c r="G4" s="3"/>
      <c r="H4" s="3"/>
    </row>
    <row r="5" spans="1:10" x14ac:dyDescent="0.35">
      <c r="A5" s="3" t="s">
        <v>51</v>
      </c>
      <c r="B5" s="3">
        <v>4</v>
      </c>
      <c r="C5" s="3"/>
      <c r="D5" s="3"/>
      <c r="E5" s="3"/>
      <c r="F5" s="3"/>
      <c r="G5" s="3"/>
      <c r="H5" s="3"/>
    </row>
    <row r="6" spans="1:10" x14ac:dyDescent="0.35">
      <c r="A6" s="3" t="s">
        <v>51</v>
      </c>
      <c r="B6" s="3">
        <v>5</v>
      </c>
      <c r="C6" s="3"/>
      <c r="D6" s="3"/>
      <c r="E6" s="3"/>
      <c r="F6" s="3"/>
      <c r="G6" s="3"/>
      <c r="H6" s="3"/>
    </row>
    <row r="7" spans="1:10" x14ac:dyDescent="0.35">
      <c r="A7" s="3" t="s">
        <v>51</v>
      </c>
      <c r="B7" s="3">
        <v>6</v>
      </c>
      <c r="C7" s="3"/>
      <c r="D7" s="3"/>
      <c r="E7" s="3"/>
      <c r="F7" s="3"/>
      <c r="G7" s="3"/>
      <c r="H7" s="3"/>
    </row>
    <row r="8" spans="1:10" x14ac:dyDescent="0.35">
      <c r="A8" s="3" t="s">
        <v>51</v>
      </c>
      <c r="B8" s="3">
        <v>7</v>
      </c>
      <c r="C8" s="3"/>
      <c r="D8" s="3"/>
      <c r="E8" s="3"/>
      <c r="F8" s="3"/>
      <c r="G8" s="3"/>
      <c r="H8" s="3"/>
    </row>
    <row r="9" spans="1:10" x14ac:dyDescent="0.35">
      <c r="A9" s="3" t="s">
        <v>51</v>
      </c>
      <c r="B9" s="3">
        <v>8</v>
      </c>
      <c r="C9" s="3"/>
      <c r="D9" s="3"/>
      <c r="E9" s="3"/>
      <c r="F9" s="3"/>
      <c r="G9" s="3"/>
      <c r="H9" s="3"/>
    </row>
    <row r="10" spans="1:10" x14ac:dyDescent="0.35">
      <c r="A10" s="3" t="s">
        <v>52</v>
      </c>
      <c r="B10" s="3">
        <v>1</v>
      </c>
      <c r="C10" s="3"/>
      <c r="D10" s="3"/>
      <c r="E10" s="3"/>
      <c r="F10" s="3"/>
      <c r="G10" s="3"/>
      <c r="H10" s="3"/>
    </row>
    <row r="11" spans="1:10" x14ac:dyDescent="0.35">
      <c r="A11" s="3" t="s">
        <v>52</v>
      </c>
      <c r="B11" s="3">
        <v>2</v>
      </c>
      <c r="C11" s="3"/>
      <c r="D11" s="3"/>
      <c r="E11" s="3"/>
      <c r="F11" s="3"/>
      <c r="G11" s="3"/>
      <c r="H11" s="3"/>
    </row>
    <row r="12" spans="1:10" x14ac:dyDescent="0.35">
      <c r="A12" s="3" t="s">
        <v>52</v>
      </c>
      <c r="B12" s="3">
        <v>3</v>
      </c>
      <c r="C12" s="3"/>
      <c r="D12" s="3"/>
      <c r="E12" s="3"/>
      <c r="F12" s="3"/>
      <c r="G12" s="3"/>
      <c r="H12" s="3"/>
    </row>
    <row r="13" spans="1:10" x14ac:dyDescent="0.35">
      <c r="A13" s="3" t="s">
        <v>52</v>
      </c>
      <c r="B13" s="3">
        <v>4</v>
      </c>
      <c r="C13" s="3"/>
      <c r="D13" s="3"/>
      <c r="E13" s="3"/>
      <c r="F13" s="3"/>
      <c r="G13" s="3"/>
      <c r="H13" s="3"/>
    </row>
    <row r="14" spans="1:10" x14ac:dyDescent="0.35">
      <c r="A14" s="3" t="s">
        <v>52</v>
      </c>
      <c r="B14" s="3">
        <v>5</v>
      </c>
      <c r="C14" s="3"/>
      <c r="D14" s="3"/>
      <c r="E14" s="3"/>
      <c r="F14" s="3"/>
      <c r="G14" s="3"/>
      <c r="H14" s="3"/>
    </row>
    <row r="15" spans="1:10" x14ac:dyDescent="0.35">
      <c r="A15" s="3" t="s">
        <v>52</v>
      </c>
      <c r="B15" s="3">
        <v>6</v>
      </c>
      <c r="C15" s="3"/>
      <c r="D15" s="3"/>
      <c r="E15" s="3"/>
      <c r="F15" s="3"/>
      <c r="G15" s="3"/>
      <c r="H15" s="3"/>
    </row>
    <row r="16" spans="1:10" x14ac:dyDescent="0.35">
      <c r="A16" s="3" t="s">
        <v>52</v>
      </c>
      <c r="B16" s="3">
        <v>7</v>
      </c>
      <c r="C16" s="3"/>
      <c r="D16" s="3"/>
      <c r="E16" s="3"/>
      <c r="F16" s="3"/>
      <c r="G16" s="3"/>
      <c r="H16" s="3"/>
    </row>
    <row r="17" spans="1:8" x14ac:dyDescent="0.35">
      <c r="A17" s="3" t="s">
        <v>52</v>
      </c>
      <c r="B17" s="3">
        <v>8</v>
      </c>
      <c r="C17" s="3"/>
      <c r="D17" s="3"/>
      <c r="E17" s="3"/>
      <c r="F17" s="3"/>
      <c r="G17" s="3"/>
      <c r="H17" s="3"/>
    </row>
    <row r="18" spans="1:8" x14ac:dyDescent="0.35">
      <c r="A18" s="3" t="s">
        <v>53</v>
      </c>
      <c r="B18" s="3">
        <v>1</v>
      </c>
      <c r="C18" s="3"/>
      <c r="D18" s="3"/>
      <c r="E18" s="3"/>
      <c r="F18" s="3"/>
      <c r="G18" s="3"/>
      <c r="H18" s="3"/>
    </row>
    <row r="19" spans="1:8" x14ac:dyDescent="0.35">
      <c r="A19" s="3" t="s">
        <v>53</v>
      </c>
      <c r="B19" s="3">
        <v>2</v>
      </c>
      <c r="C19" s="3"/>
      <c r="D19" s="3"/>
      <c r="E19" s="3"/>
      <c r="F19" s="3"/>
      <c r="G19" s="3"/>
      <c r="H19" s="3"/>
    </row>
    <row r="20" spans="1:8" x14ac:dyDescent="0.35">
      <c r="A20" s="3" t="s">
        <v>53</v>
      </c>
      <c r="B20" s="3">
        <v>3</v>
      </c>
      <c r="C20" s="3"/>
      <c r="D20" s="3"/>
      <c r="E20" s="3"/>
      <c r="F20" s="3"/>
      <c r="G20" s="3"/>
      <c r="H20" s="3"/>
    </row>
    <row r="21" spans="1:8" x14ac:dyDescent="0.35">
      <c r="A21" s="3" t="s">
        <v>53</v>
      </c>
      <c r="B21" s="3">
        <v>4</v>
      </c>
      <c r="C21" s="3"/>
      <c r="D21" s="3"/>
      <c r="E21" s="3"/>
      <c r="F21" s="3"/>
      <c r="G21" s="3"/>
      <c r="H21" s="3"/>
    </row>
    <row r="22" spans="1:8" x14ac:dyDescent="0.35">
      <c r="A22" s="3" t="s">
        <v>53</v>
      </c>
      <c r="B22" s="3">
        <v>5</v>
      </c>
      <c r="C22" s="3"/>
      <c r="D22" s="3"/>
      <c r="E22" s="3"/>
      <c r="F22" s="3"/>
      <c r="G22" s="3"/>
      <c r="H22" s="3"/>
    </row>
    <row r="23" spans="1:8" x14ac:dyDescent="0.35">
      <c r="A23" s="3" t="s">
        <v>53</v>
      </c>
      <c r="B23" s="3">
        <v>6</v>
      </c>
      <c r="C23" s="3"/>
      <c r="D23" s="3"/>
      <c r="E23" s="3"/>
      <c r="F23" s="3"/>
      <c r="G23" s="3"/>
      <c r="H23" s="3"/>
    </row>
    <row r="24" spans="1:8" x14ac:dyDescent="0.35">
      <c r="A24" s="3" t="s">
        <v>53</v>
      </c>
      <c r="B24" s="3">
        <v>7</v>
      </c>
      <c r="C24" s="3"/>
      <c r="D24" s="3"/>
      <c r="E24" s="3"/>
      <c r="F24" s="3"/>
      <c r="G24" s="3"/>
      <c r="H24" s="3"/>
    </row>
    <row r="25" spans="1:8" x14ac:dyDescent="0.35">
      <c r="A25" s="3" t="s">
        <v>53</v>
      </c>
      <c r="B25" s="3">
        <v>8</v>
      </c>
      <c r="C25" s="3"/>
      <c r="D25" s="3"/>
      <c r="E25" s="3"/>
      <c r="F25" s="3"/>
      <c r="G25" s="3"/>
      <c r="H2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zoomScaleNormal="100" workbookViewId="0">
      <selection activeCell="D35" sqref="D35"/>
    </sheetView>
  </sheetViews>
  <sheetFormatPr defaultColWidth="8.6328125" defaultRowHeight="14.5" x14ac:dyDescent="0.35"/>
  <cols>
    <col min="1" max="1" width="15.08984375" customWidth="1"/>
    <col min="12" max="12" width="12" customWidth="1"/>
    <col min="13" max="13" width="11.1796875" customWidth="1"/>
    <col min="14" max="14" width="50" customWidth="1"/>
  </cols>
  <sheetData>
    <row r="1" spans="1:14" x14ac:dyDescent="0.35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54</v>
      </c>
    </row>
    <row r="2" spans="1:14" x14ac:dyDescent="0.35">
      <c r="A2" s="3" t="s">
        <v>51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str">
        <f>IF(COUNT(B2:K2)=10,((B2+D2+F2+H2+J2-5)+(25-(C2+E2+G2+I2+K2)))*2.5,"")</f>
        <v/>
      </c>
      <c r="M2" s="3"/>
      <c r="N2" s="3"/>
    </row>
    <row r="3" spans="1:14" x14ac:dyDescent="0.35">
      <c r="A3" s="3" t="s">
        <v>52</v>
      </c>
      <c r="B3" s="3"/>
      <c r="C3" s="3"/>
      <c r="D3" s="3"/>
      <c r="E3" s="3"/>
      <c r="F3" s="3"/>
      <c r="G3" s="3"/>
      <c r="H3" s="3"/>
      <c r="I3" s="3"/>
      <c r="J3" s="3"/>
      <c r="K3" s="3"/>
      <c r="L3" s="3" t="str">
        <f>IF(COUNT(B3:K3)=10,((B3+D3+F3+H3+J3-5)+(25-(C3+E3+G3+I3+K3)))*2.5,"")</f>
        <v/>
      </c>
      <c r="M3" s="3"/>
      <c r="N3" s="3"/>
    </row>
    <row r="4" spans="1:14" x14ac:dyDescent="0.35">
      <c r="A4" s="3" t="s">
        <v>53</v>
      </c>
      <c r="B4" s="3"/>
      <c r="C4" s="3"/>
      <c r="D4" s="3"/>
      <c r="E4" s="3"/>
      <c r="F4" s="3"/>
      <c r="G4" s="3"/>
      <c r="H4" s="3"/>
      <c r="I4" s="3"/>
      <c r="J4" s="3"/>
      <c r="K4" s="3"/>
      <c r="L4" s="3" t="str">
        <f>IF(COUNT(B4:K4)=10,((B4+D4+F4+H4+J4-5)+(25-(C4+E4+G4+I4+K4)))*2.5,"")</f>
        <v/>
      </c>
      <c r="M4" s="3"/>
      <c r="N4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zoomScaleNormal="100" workbookViewId="0">
      <selection activeCell="E15" sqref="E15"/>
    </sheetView>
  </sheetViews>
  <sheetFormatPr defaultColWidth="8.6328125" defaultRowHeight="14.5" x14ac:dyDescent="0.35"/>
  <cols>
    <col min="1" max="1" width="4.7265625" customWidth="1"/>
    <col min="2" max="2" width="36.08984375" customWidth="1"/>
    <col min="3" max="10" width="12" customWidth="1"/>
    <col min="11" max="11" width="22.6328125" customWidth="1"/>
    <col min="12" max="12" width="12" customWidth="1"/>
    <col min="13" max="13" width="13.6328125" customWidth="1"/>
    <col min="14" max="14" width="12" customWidth="1"/>
  </cols>
  <sheetData>
    <row r="1" spans="1:14" ht="30" customHeight="1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</row>
    <row r="2" spans="1:14" x14ac:dyDescent="0.35">
      <c r="A2" s="3">
        <v>1</v>
      </c>
      <c r="B2" s="8" t="s">
        <v>34</v>
      </c>
      <c r="C2" s="3">
        <f>COUNTIFS(Задачи!$B$2:$B$200,A2,Задачи!$F$2:$F$200,"&gt;=0")</f>
        <v>0</v>
      </c>
      <c r="D2" s="3">
        <f>COUNTIFS(Задачи!$B$2:$B$200,A2,Задачи!$F$2:$F$200,1)</f>
        <v>0</v>
      </c>
      <c r="E2" s="5" t="str">
        <f t="shared" ref="E2:E10" si="0">IF(C2=0,"",D2/C2)</f>
        <v/>
      </c>
      <c r="F2" s="6">
        <f>COUNTIFS(Задачи!$B$2:$B$200,A2,Задачи!$F$2:$F$200,1,Задачи!$G$2:$G$200,0)</f>
        <v>0</v>
      </c>
      <c r="G2" s="5" t="str">
        <f t="shared" ref="G2:G10" si="1">IF(C2=0,"",F2/C2)</f>
        <v/>
      </c>
      <c r="H2" s="6">
        <f>SUMIFS(Задачи!$D$2:$D$200,Задачи!$B$2:$B$200,A2)</f>
        <v>0</v>
      </c>
      <c r="I2" s="6">
        <f>SUMIFS(Задачи!$E$2:$E$200,Задачи!$B$2:$B$200,A2)</f>
        <v>0</v>
      </c>
      <c r="J2" s="5" t="str">
        <f t="shared" ref="J2:J10" si="2">IF(H2=0,"",I2/H2)</f>
        <v/>
      </c>
      <c r="K2" s="6">
        <f>COUNTIFS(Задачи!$B$2:$B$200,A2,Задачи!$G$2:$G$200,1)</f>
        <v>0</v>
      </c>
      <c r="L2" s="7" t="str">
        <f>IFERROR(AVERAGEIFS(Задачи!$C$2:$C$200,Задачи!$B$2:$B$200,A2),"")</f>
        <v/>
      </c>
      <c r="M2" s="7" t="str">
        <f>IFERROR(AVERAGEIFS(Задачи!$C$2:$C$200,Задачи!$B$2:$B$200,A2,Задачи!$F$2:$F$200,1),"")</f>
        <v/>
      </c>
      <c r="N2" s="7" t="str">
        <f>IFERROR(AVERAGEIFS(Задачи!$H$2:$H$200,Задачи!$B$2:$B$200,A2),"")</f>
        <v/>
      </c>
    </row>
    <row r="3" spans="1:14" x14ac:dyDescent="0.35">
      <c r="A3" s="3">
        <v>2</v>
      </c>
      <c r="B3" s="8" t="s">
        <v>35</v>
      </c>
      <c r="C3" s="3">
        <f>COUNTIFS(Задачи!$B$2:$B$200,A3,Задачи!$F$2:$F$200,"&gt;=0")</f>
        <v>0</v>
      </c>
      <c r="D3" s="3">
        <f>COUNTIFS(Задачи!$B$2:$B$200,A3,Задачи!$F$2:$F$200,1)</f>
        <v>0</v>
      </c>
      <c r="E3" s="5" t="str">
        <f>IF(C3=0,"",D3/C3)</f>
        <v/>
      </c>
      <c r="F3" s="6">
        <f>COUNTIFS(Задачи!$B$2:$B$200,A3,Задачи!$F$2:$F$200,1,Задачи!$G$2:$G$200,0)</f>
        <v>0</v>
      </c>
      <c r="G3" s="5" t="str">
        <f t="shared" si="1"/>
        <v/>
      </c>
      <c r="H3" s="6">
        <f>SUMIFS(Задачи!$D$2:$D$200,Задачи!$B$2:$B$200,A3)</f>
        <v>0</v>
      </c>
      <c r="I3" s="6">
        <f>SUMIFS(Задачи!$E$2:$E$200,Задачи!$B$2:$B$200,A3)</f>
        <v>0</v>
      </c>
      <c r="J3" s="5" t="str">
        <f t="shared" si="2"/>
        <v/>
      </c>
      <c r="K3" s="6">
        <f>COUNTIFS(Задачи!$B$2:$B$200,A3,Задачи!$G$2:$G$200,1)</f>
        <v>0</v>
      </c>
      <c r="L3" s="7" t="str">
        <f>IFERROR(AVERAGEIFS(Задачи!$C$2:$C$200,Задачи!$B$2:$B$200,A3),"")</f>
        <v/>
      </c>
      <c r="M3" s="7" t="str">
        <f>IFERROR(AVERAGEIFS(Задачи!$C$2:$C$200,Задачи!$B$2:$B$200,A3,Задачи!$F$2:$F$200,1),"")</f>
        <v/>
      </c>
      <c r="N3" s="7" t="str">
        <f>IFERROR(AVERAGEIFS(Задачи!$H$2:$H$200,Задачи!$B$2:$B$200,A3),"")</f>
        <v/>
      </c>
    </row>
    <row r="4" spans="1:14" x14ac:dyDescent="0.35">
      <c r="A4" s="3">
        <v>3</v>
      </c>
      <c r="B4" s="8" t="s">
        <v>36</v>
      </c>
      <c r="C4" s="3">
        <f>COUNTIFS(Задачи!$B$2:$B$200,A4,Задачи!$F$2:$F$200,"&gt;=0")</f>
        <v>0</v>
      </c>
      <c r="D4" s="3">
        <f>COUNTIFS(Задачи!$B$2:$B$200,A4,Задачи!$F$2:$F$200,1)</f>
        <v>0</v>
      </c>
      <c r="E4" s="5" t="str">
        <f t="shared" si="0"/>
        <v/>
      </c>
      <c r="F4" s="6">
        <f>COUNTIFS(Задачи!$B$2:$B$200,A4,Задачи!$F$2:$F$200,1,Задачи!$G$2:$G$200,0)</f>
        <v>0</v>
      </c>
      <c r="G4" s="5" t="str">
        <f t="shared" si="1"/>
        <v/>
      </c>
      <c r="H4" s="6">
        <f>SUMIFS(Задачи!$D$2:$D$200,Задачи!$B$2:$B$200,A4)</f>
        <v>0</v>
      </c>
      <c r="I4" s="6">
        <f>SUMIFS(Задачи!$E$2:$E$200,Задачи!$B$2:$B$200,A4)</f>
        <v>0</v>
      </c>
      <c r="J4" s="5" t="str">
        <f t="shared" si="2"/>
        <v/>
      </c>
      <c r="K4" s="6">
        <f>COUNTIFS(Задачи!$B$2:$B$200,A4,Задачи!$G$2:$G$200,1)</f>
        <v>0</v>
      </c>
      <c r="L4" s="7" t="str">
        <f>IFERROR(AVERAGEIFS(Задачи!$C$2:$C$200,Задачи!$B$2:$B$200,A4),"")</f>
        <v/>
      </c>
      <c r="M4" s="7" t="str">
        <f>IFERROR(AVERAGEIFS(Задачи!$C$2:$C$200,Задачи!$B$2:$B$200,A4,Задачи!$F$2:$F$200,1),"")</f>
        <v/>
      </c>
      <c r="N4" s="7" t="str">
        <f>IFERROR(AVERAGEIFS(Задачи!$H$2:$H$200,Задачи!$B$2:$B$200,A4),"")</f>
        <v/>
      </c>
    </row>
    <row r="5" spans="1:14" x14ac:dyDescent="0.35">
      <c r="A5" s="3">
        <v>4</v>
      </c>
      <c r="B5" s="8" t="s">
        <v>37</v>
      </c>
      <c r="C5" s="3">
        <f>COUNTIFS(Задачи!$B$2:$B$200,A5,Задачи!$F$2:$F$200,"&gt;=0")</f>
        <v>0</v>
      </c>
      <c r="D5" s="3">
        <f>COUNTIFS(Задачи!$B$2:$B$200,A5,Задачи!$F$2:$F$200,1)</f>
        <v>0</v>
      </c>
      <c r="E5" s="5" t="str">
        <f t="shared" si="0"/>
        <v/>
      </c>
      <c r="F5" s="6">
        <f>COUNTIFS(Задачи!$B$2:$B$200,A5,Задачи!$F$2:$F$200,1,Задачи!$G$2:$G$200,0)</f>
        <v>0</v>
      </c>
      <c r="G5" s="5" t="str">
        <f t="shared" si="1"/>
        <v/>
      </c>
      <c r="H5" s="6">
        <f>SUMIFS(Задачи!$D$2:$D$200,Задачи!$B$2:$B$200,A5)</f>
        <v>0</v>
      </c>
      <c r="I5" s="6">
        <f>SUMIFS(Задачи!$E$2:$E$200,Задачи!$B$2:$B$200,A5)</f>
        <v>0</v>
      </c>
      <c r="J5" s="5" t="str">
        <f t="shared" si="2"/>
        <v/>
      </c>
      <c r="K5" s="6">
        <f>COUNTIFS(Задачи!$B$2:$B$200,A5,Задачи!$G$2:$G$200,1)</f>
        <v>0</v>
      </c>
      <c r="L5" s="7" t="str">
        <f>IFERROR(AVERAGEIFS(Задачи!$C$2:$C$200,Задачи!$B$2:$B$200,A5),"")</f>
        <v/>
      </c>
      <c r="M5" s="7" t="str">
        <f>IFERROR(AVERAGEIFS(Задачи!$C$2:$C$200,Задачи!$B$2:$B$200,A5,Задачи!$F$2:$F$200,1),"")</f>
        <v/>
      </c>
      <c r="N5" s="7" t="str">
        <f>IFERROR(AVERAGEIFS(Задачи!$H$2:$H$200,Задачи!$B$2:$B$200,A5),"")</f>
        <v/>
      </c>
    </row>
    <row r="6" spans="1:14" x14ac:dyDescent="0.35">
      <c r="A6" s="3">
        <v>5</v>
      </c>
      <c r="B6" s="8" t="s">
        <v>38</v>
      </c>
      <c r="C6" s="3">
        <f>COUNTIFS(Задачи!$B$2:$B$200,A6,Задачи!$F$2:$F$200,"&gt;=0")</f>
        <v>0</v>
      </c>
      <c r="D6" s="3">
        <f>COUNTIFS(Задачи!$B$2:$B$200,A6,Задачи!$F$2:$F$200,1)</f>
        <v>0</v>
      </c>
      <c r="E6" s="5" t="str">
        <f t="shared" si="0"/>
        <v/>
      </c>
      <c r="F6" s="6">
        <f>COUNTIFS(Задачи!$B$2:$B$200,A6,Задачи!$F$2:$F$200,1,Задачи!$G$2:$G$200,0)</f>
        <v>0</v>
      </c>
      <c r="G6" s="5" t="str">
        <f t="shared" si="1"/>
        <v/>
      </c>
      <c r="H6" s="6">
        <f>SUMIFS(Задачи!$D$2:$D$200,Задачи!$B$2:$B$200,A6)</f>
        <v>0</v>
      </c>
      <c r="I6" s="6">
        <f>SUMIFS(Задачи!$E$2:$E$200,Задачи!$B$2:$B$200,A6)</f>
        <v>0</v>
      </c>
      <c r="J6" s="5" t="str">
        <f t="shared" si="2"/>
        <v/>
      </c>
      <c r="K6" s="6">
        <f>COUNTIFS(Задачи!$B$2:$B$200,A6,Задачи!$G$2:$G$200,1)</f>
        <v>0</v>
      </c>
      <c r="L6" s="7" t="str">
        <f>IFERROR(AVERAGEIFS(Задачи!$C$2:$C$200,Задачи!$B$2:$B$200,A6),"")</f>
        <v/>
      </c>
      <c r="M6" s="7" t="str">
        <f>IFERROR(AVERAGEIFS(Задачи!$C$2:$C$200,Задачи!$B$2:$B$200,A6,Задачи!$F$2:$F$200,1),"")</f>
        <v/>
      </c>
      <c r="N6" s="7" t="str">
        <f>IFERROR(AVERAGEIFS(Задачи!$H$2:$H$200,Задачи!$B$2:$B$200,A6),"")</f>
        <v/>
      </c>
    </row>
    <row r="7" spans="1:14" x14ac:dyDescent="0.35">
      <c r="A7" s="3">
        <v>6</v>
      </c>
      <c r="B7" s="8" t="s">
        <v>39</v>
      </c>
      <c r="C7" s="3">
        <f>COUNTIFS(Задачи!$B$2:$B$200,A7,Задачи!$F$2:$F$200,"&gt;=0")</f>
        <v>0</v>
      </c>
      <c r="D7" s="3">
        <f>COUNTIFS(Задачи!$B$2:$B$200,A7,Задачи!$F$2:$F$200,1)</f>
        <v>0</v>
      </c>
      <c r="E7" s="5" t="str">
        <f t="shared" si="0"/>
        <v/>
      </c>
      <c r="F7" s="6">
        <f>COUNTIFS(Задачи!$B$2:$B$200,A7,Задачи!$F$2:$F$200,1,Задачи!$G$2:$G$200,0)</f>
        <v>0</v>
      </c>
      <c r="G7" s="5" t="str">
        <f t="shared" si="1"/>
        <v/>
      </c>
      <c r="H7" s="6">
        <f>SUMIFS(Задачи!$D$2:$D$200,Задачи!$B$2:$B$200,A7)</f>
        <v>0</v>
      </c>
      <c r="I7" s="6">
        <f>SUMIFS(Задачи!$E$2:$E$200,Задачи!$B$2:$B$200,A7)</f>
        <v>0</v>
      </c>
      <c r="J7" s="5" t="str">
        <f t="shared" si="2"/>
        <v/>
      </c>
      <c r="K7" s="6">
        <f>COUNTIFS(Задачи!$B$2:$B$200,A7,Задачи!$G$2:$G$200,1)</f>
        <v>0</v>
      </c>
      <c r="L7" s="7" t="str">
        <f>IFERROR(AVERAGEIFS(Задачи!$C$2:$C$200,Задачи!$B$2:$B$200,A7),"")</f>
        <v/>
      </c>
      <c r="M7" s="7" t="str">
        <f>IFERROR(AVERAGEIFS(Задачи!$C$2:$C$200,Задачи!$B$2:$B$200,A7,Задачи!$F$2:$F$200,1),"")</f>
        <v/>
      </c>
      <c r="N7" s="7" t="str">
        <f>IFERROR(AVERAGEIFS(Задачи!$H$2:$H$200,Задачи!$B$2:$B$200,A7),"")</f>
        <v/>
      </c>
    </row>
    <row r="8" spans="1:14" x14ac:dyDescent="0.35">
      <c r="A8" s="3">
        <v>7</v>
      </c>
      <c r="B8" s="8" t="s">
        <v>40</v>
      </c>
      <c r="C8" s="3">
        <f>COUNTIFS(Задачи!$B$2:$B$200,A8,Задачи!$F$2:$F$200,"&gt;=0")</f>
        <v>0</v>
      </c>
      <c r="D8" s="3">
        <f>COUNTIFS(Задачи!$B$2:$B$200,A8,Задачи!$F$2:$F$200,1)</f>
        <v>0</v>
      </c>
      <c r="E8" s="5" t="str">
        <f t="shared" si="0"/>
        <v/>
      </c>
      <c r="F8" s="6">
        <f>COUNTIFS(Задачи!$B$2:$B$200,A8,Задачи!$F$2:$F$200,1,Задачи!$G$2:$G$200,0)</f>
        <v>0</v>
      </c>
      <c r="G8" s="5" t="str">
        <f t="shared" si="1"/>
        <v/>
      </c>
      <c r="H8" s="6">
        <f>SUMIFS(Задачи!$D$2:$D$200,Задачи!$B$2:$B$200,A8)</f>
        <v>0</v>
      </c>
      <c r="I8" s="6">
        <f>SUMIFS(Задачи!$E$2:$E$200,Задачи!$B$2:$B$200,A8)</f>
        <v>0</v>
      </c>
      <c r="J8" s="5" t="str">
        <f t="shared" si="2"/>
        <v/>
      </c>
      <c r="K8" s="6">
        <f>COUNTIFS(Задачи!$B$2:$B$200,A8,Задачи!$G$2:$G$200,1)</f>
        <v>0</v>
      </c>
      <c r="L8" s="7" t="str">
        <f>IFERROR(AVERAGEIFS(Задачи!$C$2:$C$200,Задачи!$B$2:$B$200,A8),"")</f>
        <v/>
      </c>
      <c r="M8" s="7" t="str">
        <f>IFERROR(AVERAGEIFS(Задачи!$C$2:$C$200,Задачи!$B$2:$B$200,A8,Задачи!$F$2:$F$200,1),"")</f>
        <v/>
      </c>
      <c r="N8" s="7" t="str">
        <f>IFERROR(AVERAGEIFS(Задачи!$H$2:$H$200,Задачи!$B$2:$B$200,A8),"")</f>
        <v/>
      </c>
    </row>
    <row r="9" spans="1:14" x14ac:dyDescent="0.35">
      <c r="A9" s="3">
        <v>8</v>
      </c>
      <c r="B9" s="8" t="s">
        <v>41</v>
      </c>
      <c r="C9" s="3">
        <f>COUNTIFS(Задачи!$B$2:$B$200,A9,Задачи!$F$2:$F$200,"&gt;=0")</f>
        <v>0</v>
      </c>
      <c r="D9" s="3">
        <f>COUNTIFS(Задачи!$B$2:$B$200,A9,Задачи!$F$2:$F$200,1)</f>
        <v>0</v>
      </c>
      <c r="E9" s="5" t="str">
        <f t="shared" si="0"/>
        <v/>
      </c>
      <c r="F9" s="6">
        <f>COUNTIFS(Задачи!$B$2:$B$200,A9,Задачи!$F$2:$F$200,1,Задачи!$G$2:$G$200,0)</f>
        <v>0</v>
      </c>
      <c r="G9" s="5" t="str">
        <f t="shared" si="1"/>
        <v/>
      </c>
      <c r="H9" s="6">
        <f>SUMIFS(Задачи!$D$2:$D$200,Задачи!$B$2:$B$200,A9)</f>
        <v>0</v>
      </c>
      <c r="I9" s="6">
        <f>SUMIFS(Задачи!$E$2:$E$200,Задачи!$B$2:$B$200,A9)</f>
        <v>0</v>
      </c>
      <c r="J9" s="5" t="str">
        <f t="shared" si="2"/>
        <v/>
      </c>
      <c r="K9" s="6">
        <f>COUNTIFS(Задачи!$B$2:$B$200,A9,Задачи!$G$2:$G$200,1)</f>
        <v>0</v>
      </c>
      <c r="L9" s="7" t="str">
        <f>IFERROR(AVERAGEIFS(Задачи!$C$2:$C$200,Задачи!$B$2:$B$200,A9),"")</f>
        <v/>
      </c>
      <c r="M9" s="7" t="str">
        <f>IFERROR(AVERAGEIFS(Задачи!$C$2:$C$200,Задачи!$B$2:$B$200,A9,Задачи!$F$2:$F$200,1),"")</f>
        <v/>
      </c>
      <c r="N9" s="7" t="str">
        <f>IFERROR(AVERAGEIFS(Задачи!$H$2:$H$200,Задачи!$B$2:$B$200,A9),"")</f>
        <v/>
      </c>
    </row>
    <row r="10" spans="1:14" x14ac:dyDescent="0.35">
      <c r="A10" s="3"/>
      <c r="B10" s="2" t="s">
        <v>42</v>
      </c>
      <c r="C10" s="6">
        <f>SUM(C2:C9)</f>
        <v>0</v>
      </c>
      <c r="D10" s="6">
        <f>SUM(D2:D9)</f>
        <v>0</v>
      </c>
      <c r="E10" s="5" t="str">
        <f t="shared" si="0"/>
        <v/>
      </c>
      <c r="F10" s="6">
        <f>SUM(F2:F9)</f>
        <v>0</v>
      </c>
      <c r="G10" s="5" t="str">
        <f t="shared" si="1"/>
        <v/>
      </c>
      <c r="H10" s="6">
        <f>SUM(H2:H9)</f>
        <v>0</v>
      </c>
      <c r="I10" s="6">
        <f>SUM(I2:I9)</f>
        <v>0</v>
      </c>
      <c r="J10" s="5" t="str">
        <f t="shared" si="2"/>
        <v/>
      </c>
      <c r="K10" s="6">
        <f>SUM(K2:K9)</f>
        <v>0</v>
      </c>
      <c r="L10" s="7"/>
      <c r="M10" s="7" t="str">
        <f>IFERROR(AVERAGEIFS(Задачи!$C$2:$C$200,Задачи!$F$2:$F$200,1),"")</f>
        <v/>
      </c>
      <c r="N10" s="7" t="str">
        <f>IFERROR(AVERAGE(Задачи!$H$2:$H$200),"")</f>
        <v/>
      </c>
    </row>
    <row r="12" spans="1:14" x14ac:dyDescent="0.35">
      <c r="B12" s="2" t="s">
        <v>43</v>
      </c>
      <c r="C12" s="3"/>
    </row>
    <row r="13" spans="1:14" x14ac:dyDescent="0.35">
      <c r="B13" t="s">
        <v>24</v>
      </c>
      <c r="C13" s="5" t="str">
        <f>E10</f>
        <v/>
      </c>
    </row>
    <row r="14" spans="1:14" x14ac:dyDescent="0.35">
      <c r="B14" t="s">
        <v>26</v>
      </c>
      <c r="C14" s="5" t="str">
        <f>G10</f>
        <v/>
      </c>
    </row>
    <row r="15" spans="1:14" x14ac:dyDescent="0.35">
      <c r="B15" t="s">
        <v>29</v>
      </c>
      <c r="C15" s="5" t="str">
        <f>J10</f>
        <v/>
      </c>
    </row>
    <row r="16" spans="1:14" x14ac:dyDescent="0.35">
      <c r="B16" t="s">
        <v>44</v>
      </c>
      <c r="C16" s="5" t="str">
        <f>IF(C10=0,"",K10/C10)</f>
        <v/>
      </c>
    </row>
    <row r="17" spans="2:3" x14ac:dyDescent="0.35">
      <c r="B17" t="s">
        <v>45</v>
      </c>
      <c r="C17" s="9" t="str">
        <f>IFERROR(D10/(SUMIFS(Задачи!$C$2:$C$200,Задачи!$F$2:$F$200,"&gt;=0")/60),"")</f>
        <v/>
      </c>
    </row>
    <row r="18" spans="2:3" x14ac:dyDescent="0.35">
      <c r="B18" t="s">
        <v>55</v>
      </c>
      <c r="C18" s="10" t="str">
        <f>IFERROR(D10/H10,"")</f>
        <v/>
      </c>
    </row>
    <row r="19" spans="2:3" x14ac:dyDescent="0.35">
      <c r="B19" t="s">
        <v>46</v>
      </c>
      <c r="C19" s="7" t="str">
        <f>IFERROR(AVERAGE(Приложение!L2:L20),"")</f>
        <v/>
      </c>
    </row>
    <row r="20" spans="2:3" x14ac:dyDescent="0.35">
      <c r="B20" t="s">
        <v>47</v>
      </c>
      <c r="C20" s="11">
        <f>COUNTIF(Приложение!M2:M20,"&gt;=9")</f>
        <v>0</v>
      </c>
    </row>
    <row r="21" spans="2:3" x14ac:dyDescent="0.35">
      <c r="B21" t="s">
        <v>48</v>
      </c>
      <c r="C21" s="11">
        <f>COUNTIFS(Приложение!M2:M20,"&gt;=0",Приложение!M2:M20,"&lt;=6")</f>
        <v>0</v>
      </c>
    </row>
    <row r="22" spans="2:3" x14ac:dyDescent="0.35">
      <c r="B22" t="s">
        <v>49</v>
      </c>
      <c r="C22" s="11">
        <f>COUNT(Приложение!M2:M20)</f>
        <v>0</v>
      </c>
    </row>
    <row r="23" spans="2:3" x14ac:dyDescent="0.35">
      <c r="B23" t="s">
        <v>50</v>
      </c>
      <c r="C23" s="7" t="str">
        <f>IF(C22=0,"",(C20-C21)/C22*100)</f>
        <v/>
      </c>
    </row>
    <row r="25" spans="2:3" x14ac:dyDescent="0.35">
      <c r="B25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Задачи</vt:lpstr>
      <vt:lpstr>Приложение</vt:lpstr>
      <vt:lpstr>Метрики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aleks</cp:lastModifiedBy>
  <cp:revision>0</cp:revision>
  <dcterms:created xsi:type="dcterms:W3CDTF">2026-10-26T19:27:07Z</dcterms:created>
  <dcterms:modified xsi:type="dcterms:W3CDTF">2026-10-26T20:08:43Z</dcterms:modified>
  <dc:language>en-US</dc:language>
</cp:coreProperties>
</file>